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" sheetId="1" state="visible" r:id="rId1"/>
    <sheet xmlns:r="http://schemas.openxmlformats.org/officeDocument/2006/relationships" name="PGR_Setup" sheetId="2" state="visible" r:id="rId2"/>
    <sheet xmlns:r="http://schemas.openxmlformats.org/officeDocument/2006/relationships" name="Weather_Raw" sheetId="3" state="visible" r:id="rId3"/>
    <sheet xmlns:r="http://schemas.openxmlformats.org/officeDocument/2006/relationships" name="Actions_Log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Date</t>
        </is>
      </c>
      <c r="C1" t="inlineStr">
        <is>
          <t>Stage</t>
        </is>
      </c>
      <c r="D1" t="inlineStr">
        <is>
          <t>Height_cm</t>
        </is>
      </c>
      <c r="E1" t="inlineStr">
        <is>
          <t>Prev_Height_cm</t>
        </is>
      </c>
      <c r="F1" t="inlineStr">
        <is>
          <t>Days_Since_Last</t>
        </is>
      </c>
      <c r="G1" t="inlineStr">
        <is>
          <t>Internode_mm</t>
        </is>
      </c>
      <c r="H1" t="inlineStr">
        <is>
          <t>NAWF</t>
        </is>
      </c>
      <c r="I1" t="inlineStr">
        <is>
          <t>Vigor_1to5</t>
        </is>
      </c>
      <c r="J1" t="inlineStr">
        <is>
          <t>SoilK_Class</t>
        </is>
      </c>
      <c r="K1" t="inlineStr">
        <is>
          <t>LeafK_Status</t>
        </is>
      </c>
      <c r="L1" t="inlineStr">
        <is>
          <t>Fruit_Load_Score</t>
        </is>
      </c>
      <c r="M1" t="inlineStr">
        <is>
          <t>MaxTemp_C</t>
        </is>
      </c>
      <c r="N1" t="inlineStr">
        <is>
          <t>ET0_mm</t>
        </is>
      </c>
      <c r="O1" t="inlineStr">
        <is>
          <t>Growth_cm_per_day</t>
        </is>
      </c>
      <c r="P1" t="inlineStr">
        <is>
          <t>PGR_Vigor_Index</t>
        </is>
      </c>
      <c r="Q1" t="inlineStr">
        <is>
          <t>PGR_Intensity</t>
        </is>
      </c>
      <c r="R1" t="inlineStr">
        <is>
          <t>PGR_Effect</t>
        </is>
      </c>
      <c r="S1" t="inlineStr">
        <is>
          <t>Actual_Growth_cm</t>
        </is>
      </c>
      <c r="T1" t="inlineStr">
        <is>
          <t>NoPGR_Growth_cm</t>
        </is>
      </c>
      <c r="U1" t="inlineStr">
        <is>
          <t>NoPGR_Height_cm</t>
        </is>
      </c>
      <c r="V1" t="inlineStr">
        <is>
          <t>Height_Controlled_cm</t>
        </is>
      </c>
      <c r="W1" t="inlineStr">
        <is>
          <t>K_Demand</t>
        </is>
      </c>
      <c r="X1" t="inlineStr">
        <is>
          <t>K_Supply</t>
        </is>
      </c>
      <c r="Y1" t="inlineStr">
        <is>
          <t>K_Runaway_Index</t>
        </is>
      </c>
      <c r="Z1" t="inlineStr">
        <is>
          <t>K_Recommendation</t>
        </is>
      </c>
      <c r="AA1" t="inlineStr">
        <is>
          <t>Kc</t>
        </is>
      </c>
      <c r="AB1" t="inlineStr">
        <is>
          <t>Water_mm_Day</t>
        </is>
      </c>
      <c r="AC1" t="inlineStr">
        <is>
          <t>Rx380_Rate_mLha</t>
        </is>
      </c>
      <c r="AD1" t="inlineStr">
        <is>
          <t>Pix_Rate_mLha</t>
        </is>
      </c>
    </row>
    <row r="2">
      <c r="A2" t="inlineStr">
        <is>
          <t>Block A</t>
        </is>
      </c>
      <c r="B2" t="inlineStr">
        <is>
          <t>2025-12-01</t>
        </is>
      </c>
      <c r="C2" t="inlineStr">
        <is>
          <t>First flower</t>
        </is>
      </c>
      <c r="D2" t="n">
        <v>80</v>
      </c>
      <c r="E2" t="n">
        <v>65</v>
      </c>
      <c r="F2" t="n">
        <v>5</v>
      </c>
      <c r="G2" t="n">
        <v>32</v>
      </c>
      <c r="H2" t="n">
        <v>8</v>
      </c>
      <c r="I2" t="n">
        <v>4</v>
      </c>
      <c r="J2" t="inlineStr">
        <is>
          <t>Med</t>
        </is>
      </c>
      <c r="K2" t="inlineStr">
        <is>
          <t>Borderline</t>
        </is>
      </c>
      <c r="L2" t="n">
        <v>3</v>
      </c>
      <c r="M2" t="n">
        <v>36</v>
      </c>
      <c r="N2" t="n">
        <v>6</v>
      </c>
      <c r="O2">
        <f>IFERROR((D2-E2)/F2,0)</f>
        <v/>
      </c>
      <c r="P2">
        <f>IF(G2&gt;30,3,IF(G2&gt;25,2,IF(G2&gt;20,1,0)))+IF(O2&gt;3,3,IF(O2&gt;2,2,IF(O2&gt;1,1,0)))+IF(I2&gt;=4,3,IF(I2=3,2,IF(I2=2,1,0)))+IF(M2&gt;=38,3,IF(M2&gt;=34,2,IF(M2&gt;=30,1,0)))</f>
        <v/>
      </c>
      <c r="Q2">
        <f>IF(OR(C2="Pre-square",C2="Late"),0, IF(C2="Early square",    IF(P2&gt;=9,1,0), IF(C2="First flower",    IF(P2&gt;=11,3,    IF(P2&gt;=8,2,    IF(P2&gt;=6,1,0))), IF(C2="Peak bloom",    IF(AND(H2&gt;6,P2&gt;=9),2,    IF(AND(H2&gt;6,P2&gt;=7),1,0)), 0))))</f>
        <v/>
      </c>
      <c r="R2">
        <f>IF(Q2=0,0,IF(Q2=1,0.2,IF(Q2=2,0.35,0.5)))</f>
        <v/>
      </c>
      <c r="S2">
        <f>IFERROR(D2-E2,0)</f>
        <v/>
      </c>
      <c r="T2">
        <f>IF(R2=0,S2,IF(1-R2&lt;=0,S2,S2/(1-R2)))</f>
        <v/>
      </c>
      <c r="U2">
        <f>IF(E2="",D2,U1+T2)</f>
        <v/>
      </c>
      <c r="V2">
        <f>MAX(0,U2-D2)</f>
        <v/>
      </c>
      <c r="W2">
        <f>IF(C2="Pre-square",0,IF(C2="Early square",1,IF(C2="First flower",2,IF(C2="Peak bloom",3,IF(C2="Late",1,0)))))+IF(L2=3,2,IF(L2=2,1,0))+IF(M2&gt;=38,2,IF(M2&gt;=34,1,0))+IF(O2&gt;3,2,IF(O2&gt;2,1,0))</f>
        <v/>
      </c>
      <c r="X2">
        <f>IF(J2="Low",2,IF(J2="Med",1,0))+IF(K2="Low",2,IF(K2="Borderline",1,0))</f>
        <v/>
      </c>
      <c r="Y2">
        <f>W2+X2</f>
        <v/>
      </c>
      <c r="Z2">
        <f>IF(Y2&lt;=3,"K OK – no foliar needed",IF(Y2&lt;=6,"Moderate K risk – plan foliar K with next spray",IF(Y2&lt;=9,"High K risk – foliar K this week","Severe K runaway – urgent foliar K and review soil K")))</f>
        <v/>
      </c>
      <c r="AA2">
        <f>IF(C2="Pre-square",0.35,IF(C2="Early square",0.75,IF(C2="First flower",1.05,IF(C2="Peak bloom",1.15,IF(C2="Late",0.7,1.0)))))</f>
        <v/>
      </c>
      <c r="AB2">
        <f>N2*AA2</f>
        <v/>
      </c>
      <c r="AC2">
        <f>IFERROR(VLOOKUP(Q2,PGR_Setup!$A$2:$C$5,2,FALSE),0)</f>
        <v/>
      </c>
      <c r="AD2">
        <f>IFERROR(VLOOKUP(Q2,PGR_Setup!$A$2:$C$5,3,FALSE),0)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PGR_Intensity</t>
        </is>
      </c>
      <c r="B1" t="inlineStr">
        <is>
          <t>Rx380_mLha</t>
        </is>
      </c>
      <c r="C1" t="inlineStr">
        <is>
          <t>Pix_mLha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40</v>
      </c>
      <c r="C3" t="n">
        <v>60</v>
      </c>
    </row>
    <row r="4">
      <c r="A4" t="n">
        <v>2</v>
      </c>
      <c r="B4" t="n">
        <v>80</v>
      </c>
      <c r="C4" t="n">
        <v>100</v>
      </c>
    </row>
    <row r="5">
      <c r="A5" t="n">
        <v>3</v>
      </c>
      <c r="B5" t="n">
        <v>120</v>
      </c>
      <c r="C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Temp_C</t>
        </is>
      </c>
      <c r="C1" t="inlineStr">
        <is>
          <t>RH_pct</t>
        </is>
      </c>
      <c r="D1" t="inlineStr">
        <is>
          <t>ET0_mm</t>
        </is>
      </c>
      <c r="E1" t="inlineStr">
        <is>
          <t>Rain_mm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Product</t>
        </is>
      </c>
      <c r="D1" t="inlineStr">
        <is>
          <t>Rate_mLha</t>
        </is>
      </c>
      <c r="E1" t="inlineStr">
        <is>
          <t>Type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Date</t>
        </is>
      </c>
      <c r="C1" t="inlineStr">
        <is>
          <t>Stage</t>
        </is>
      </c>
      <c r="D1" t="inlineStr">
        <is>
          <t>Height_cm</t>
        </is>
      </c>
      <c r="E1" t="inlineStr">
        <is>
          <t>NoPGR_Height_cm</t>
        </is>
      </c>
      <c r="F1" t="inlineStr">
        <is>
          <t>Height_Controlled_cm</t>
        </is>
      </c>
      <c r="G1" t="inlineStr">
        <is>
          <t>PGR_Intensity</t>
        </is>
      </c>
      <c r="H1" t="inlineStr">
        <is>
          <t>Rx380_mLha</t>
        </is>
      </c>
      <c r="I1" t="inlineStr">
        <is>
          <t>Pix_Rate_mLha</t>
        </is>
      </c>
      <c r="J1" t="inlineStr">
        <is>
          <t>K_Runaway_Index</t>
        </is>
      </c>
      <c r="K1" t="inlineStr">
        <is>
          <t>K_Recommendation</t>
        </is>
      </c>
      <c r="L1" t="inlineStr">
        <is>
          <t>Water_mm_Day</t>
        </is>
      </c>
    </row>
    <row r="2">
      <c r="A2" t="inlineStr">
        <is>
          <t>Block A</t>
        </is>
      </c>
      <c r="B2" t="inlineStr">
        <is>
          <t>2025-12-01</t>
        </is>
      </c>
      <c r="C2">
        <f>IFERROR(INDEX(Scouting!$C:$C,MATCH(1,(Scouting!$A:$A=$A2)*(Scouting!$B:$B=$B2),0)),"")</f>
        <v/>
      </c>
      <c r="D2">
        <f>IFERROR(INDEX(Scouting!$D:$D,MATCH(1,(Scouting!$A:$A=$A2)*(Scouting!$B:$B=$B2),0)),"")</f>
        <v/>
      </c>
      <c r="E2">
        <f>IFERROR(INDEX(Scouting!$U:$U,MATCH(1,(Scouting!$A:$A=$A2)*(Scouting!$B:$B=$B2),0)),"")</f>
        <v/>
      </c>
      <c r="F2">
        <f>IFERROR(INDEX(Scouting!$V:$V,MATCH(1,(Scouting!$A:$A=$A2)*(Scouting!$B:$B=$B2),0)),"")</f>
        <v/>
      </c>
      <c r="G2">
        <f>IFERROR(INDEX(Scouting!$Q:$Q,MATCH(1,(Scouting!$A:$A=$A2)*(Scouting!$B:$B=$B2),0)),"")</f>
        <v/>
      </c>
      <c r="H2">
        <f>IFERROR(INDEX(Scouting!$AC:$AC,MATCH(1,(Scouting!$A:$A=$A2)*(Scouting!$B:$B=$B2),0)),"")</f>
        <v/>
      </c>
      <c r="I2">
        <f>IFERROR(INDEX(Scouting!$AD:$AD,MATCH(1,(Scouting!$A:$A=$A2)*(Scouting!$B:$B=$B2),0)),"")</f>
        <v/>
      </c>
      <c r="J2">
        <f>IFERROR(INDEX(Scouting!$Y:$Y,MATCH(1,(Scouting!$A:$A=$A2)*(Scouting!$B:$B=$B2),0)),"")</f>
        <v/>
      </c>
      <c r="K2">
        <f>IFERROR(INDEX(Scouting!$Z:$Z,MATCH(1,(Scouting!$A:$A=$A2)*(Scouting!$B:$B=$B2),0)),"")</f>
        <v/>
      </c>
      <c r="L2">
        <f>IFERROR(INDEX(Scouting!$AB:$AB,MATCH(1,(Scouting!$A:$A=$A2)*(Scouting!$B:$B=$B2),0)),"")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2025-12-24T20:51:05Z</dcterms:created>
  <dcterms:modified xmlns:dcterms="http://purl.org/dc/terms/" xmlns:xsi="http://www.w3.org/2001/XMLSchema-instance" xsi:type="dcterms:W3CDTF">2025-12-24T20:51:05Z</dcterms:modified>
</cp:coreProperties>
</file>